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流水明细" sheetId="1" state="visible" r:id="rId1"/>
    <sheet name="商品类别汇总" sheetId="2" state="visible" r:id="rId2"/>
    <sheet name="门店汇总" sheetId="3" state="visible" r:id="rId3"/>
    <sheet name="区域汇总" sheetId="4" state="visible" r:id="rId4"/>
    <sheet name="月度汇总" sheetId="5" state="visible" r:id="rId5"/>
    <sheet name="销售人员汇总" sheetId="6" state="visible" r:id="rId6"/>
    <sheet name="异常报告" sheetId="7" state="visible" r:id="rId7"/>
  </sheets>
  <definedNames>
    <definedName name="_xlnm._FilterDatabase" localSheetId="0" hidden="1">'流水明细'!$A$1:$O$40</definedName>
    <definedName name="_xlnm._FilterDatabase" localSheetId="1" hidden="1">'商品类别汇总'!$A$1:$F$8</definedName>
    <definedName name="_xlnm._FilterDatabase" localSheetId="2" hidden="1">'门店汇总'!$A$1:$F$8</definedName>
    <definedName name="_xlnm._FilterDatabase" localSheetId="3" hidden="1">'区域汇总'!$A$1:$F$3</definedName>
    <definedName name="_xlnm._FilterDatabase" localSheetId="4" hidden="1">'月度汇总'!$A$1:$F$5</definedName>
    <definedName name="_xlnm._FilterDatabase" localSheetId="5" hidden="1">'销售人员汇总'!$A$1:$G$9</definedName>
    <definedName name="_xlnm._FilterDatabase" localSheetId="6" hidden="1">'异常报告'!$A$1:$Q$11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.25" customWidth="1" min="1" max="1"/>
    <col width="26.25" customWidth="1" min="2" max="2"/>
    <col width="7.5" customWidth="1" min="3" max="3"/>
    <col width="8.75" customWidth="1" min="4" max="4"/>
    <col width="7.5" customWidth="1" min="5" max="5"/>
    <col width="8.75" customWidth="1" min="6" max="6"/>
    <col width="10" customWidth="1" min="7" max="7"/>
    <col width="10" customWidth="1" min="8" max="8"/>
    <col width="12.5" customWidth="1" min="9" max="9"/>
    <col width="7.5" customWidth="1" min="10" max="10"/>
    <col width="8.75" customWidth="1" min="11" max="11"/>
    <col width="10" customWidth="1" min="12" max="12"/>
    <col width="7.5" customWidth="1" min="13" max="13"/>
    <col width="10" customWidth="1" min="14" max="14"/>
    <col width="10" customWidth="1" min="15" max="15"/>
  </cols>
  <sheetData>
    <row r="1">
      <c r="A1" s="1" t="inlineStr">
        <is>
          <t>流水明细</t>
        </is>
      </c>
    </row>
    <row r="2">
      <c r="A2" s="2" t="inlineStr">
        <is>
          <t>订单号</t>
        </is>
      </c>
      <c r="B2" s="2" t="inlineStr">
        <is>
          <t>日期</t>
        </is>
      </c>
      <c r="C2" s="2" t="inlineStr">
        <is>
          <t>门店编号</t>
        </is>
      </c>
      <c r="D2" s="2" t="inlineStr">
        <is>
          <t>商品编号</t>
        </is>
      </c>
      <c r="E2" s="2" t="inlineStr">
        <is>
          <t>数量</t>
        </is>
      </c>
      <c r="F2" s="2" t="inlineStr">
        <is>
          <t>单价</t>
        </is>
      </c>
      <c r="G2" s="2" t="inlineStr">
        <is>
          <t>销售金额</t>
        </is>
      </c>
      <c r="H2" s="2" t="inlineStr">
        <is>
          <t>销售人员编号</t>
        </is>
      </c>
      <c r="I2" s="2" t="inlineStr">
        <is>
          <t>商品名称</t>
        </is>
      </c>
      <c r="J2" s="2" t="inlineStr">
        <is>
          <t>商品类别</t>
        </is>
      </c>
      <c r="K2" s="2" t="inlineStr">
        <is>
          <t>标准单价</t>
        </is>
      </c>
      <c r="L2" s="2" t="inlineStr">
        <is>
          <t>门店名称</t>
        </is>
      </c>
      <c r="M2" s="2" t="inlineStr">
        <is>
          <t>区域</t>
        </is>
      </c>
      <c r="N2" s="2" t="inlineStr">
        <is>
          <t>销售人员姓名</t>
        </is>
      </c>
      <c r="O2" s="2" t="inlineStr">
        <is>
          <t>所属门店编号</t>
        </is>
      </c>
    </row>
    <row r="3">
      <c r="A3" t="inlineStr">
        <is>
          <t>SO00001</t>
        </is>
      </c>
      <c r="B3" s="3" t="n">
        <v>46026</v>
      </c>
      <c r="C3" t="inlineStr">
        <is>
          <t>S001</t>
        </is>
      </c>
      <c r="D3" t="inlineStr">
        <is>
          <t>P0002</t>
        </is>
      </c>
      <c r="E3" t="n">
        <v>3</v>
      </c>
      <c r="F3" s="4" t="n">
        <v>59.9</v>
      </c>
      <c r="G3" s="4" t="n">
        <v>179.7</v>
      </c>
      <c r="H3" t="inlineStr">
        <is>
          <t>E001</t>
        </is>
      </c>
      <c r="I3" t="inlineStr">
        <is>
          <t>无线鼠标</t>
        </is>
      </c>
      <c r="J3" t="inlineStr">
        <is>
          <t>电脑外设</t>
        </is>
      </c>
      <c r="K3" s="4" t="n">
        <v>59.9</v>
      </c>
      <c r="L3" t="inlineStr">
        <is>
          <t>牡丹江中心店</t>
        </is>
      </c>
      <c r="M3" t="inlineStr">
        <is>
          <t>东北区</t>
        </is>
      </c>
      <c r="N3" t="inlineStr">
        <is>
          <t>张伟</t>
        </is>
      </c>
      <c r="O3" t="inlineStr">
        <is>
          <t>S001</t>
        </is>
      </c>
    </row>
    <row r="4">
      <c r="A4" t="inlineStr">
        <is>
          <t>SO00002</t>
        </is>
      </c>
      <c r="B4" s="3" t="n">
        <v>46027</v>
      </c>
      <c r="C4" t="inlineStr">
        <is>
          <t>S002</t>
        </is>
      </c>
      <c r="D4" t="inlineStr">
        <is>
          <t>P0008</t>
        </is>
      </c>
      <c r="E4" t="n">
        <v>1</v>
      </c>
      <c r="F4" s="4" t="n">
        <v>499</v>
      </c>
      <c r="G4" s="4" t="n">
        <v>499</v>
      </c>
      <c r="H4" t="inlineStr">
        <is>
          <t>E003</t>
        </is>
      </c>
      <c r="I4" t="inlineStr">
        <is>
          <t>移动硬盘</t>
        </is>
      </c>
      <c r="J4" t="inlineStr">
        <is>
          <t>存储设备</t>
        </is>
      </c>
      <c r="K4" s="4" t="n">
        <v>499</v>
      </c>
      <c r="L4" t="inlineStr">
        <is>
          <t>牡丹江西安店</t>
        </is>
      </c>
      <c r="M4" t="inlineStr">
        <is>
          <t>东北区</t>
        </is>
      </c>
      <c r="N4" t="inlineStr">
        <is>
          <t>王强</t>
        </is>
      </c>
      <c r="O4" t="inlineStr">
        <is>
          <t>S002</t>
        </is>
      </c>
    </row>
    <row r="5">
      <c r="A5" t="inlineStr">
        <is>
          <t>SO00003</t>
        </is>
      </c>
      <c r="B5" s="3" t="n">
        <v>46029</v>
      </c>
      <c r="C5" t="inlineStr">
        <is>
          <t>S003</t>
        </is>
      </c>
      <c r="D5" t="inlineStr">
        <is>
          <t>P0001</t>
        </is>
      </c>
      <c r="E5" t="n">
        <v>2</v>
      </c>
      <c r="F5" s="4" t="n">
        <v>129</v>
      </c>
      <c r="G5" s="4" t="n">
        <v>258</v>
      </c>
      <c r="H5" t="inlineStr">
        <is>
          <t>E004</t>
        </is>
      </c>
      <c r="I5" t="inlineStr">
        <is>
          <t>机械键盘</t>
        </is>
      </c>
      <c r="J5" t="inlineStr">
        <is>
          <t>电脑外设</t>
        </is>
      </c>
      <c r="K5" s="4" t="n">
        <v>129</v>
      </c>
      <c r="L5" t="inlineStr">
        <is>
          <t>哈尔滨南岗店</t>
        </is>
      </c>
      <c r="M5" t="inlineStr">
        <is>
          <t>东北区</t>
        </is>
      </c>
      <c r="N5" t="inlineStr">
        <is>
          <t>赵敏</t>
        </is>
      </c>
      <c r="O5" t="inlineStr">
        <is>
          <t>S003</t>
        </is>
      </c>
    </row>
    <row r="6">
      <c r="A6" t="inlineStr">
        <is>
          <t>SO00004</t>
        </is>
      </c>
      <c r="B6" s="3" t="n">
        <v>46031</v>
      </c>
      <c r="C6" t="inlineStr">
        <is>
          <t>S004</t>
        </is>
      </c>
      <c r="D6" t="inlineStr">
        <is>
          <t>P0006</t>
        </is>
      </c>
      <c r="E6" t="n">
        <v>5</v>
      </c>
      <c r="F6" s="4" t="n">
        <v>32.5</v>
      </c>
      <c r="G6" s="4" t="n">
        <v>162.5</v>
      </c>
      <c r="H6" t="inlineStr">
        <is>
          <t>E005</t>
        </is>
      </c>
      <c r="I6" t="inlineStr">
        <is>
          <t>A4打印纸</t>
        </is>
      </c>
      <c r="J6" t="inlineStr">
        <is>
          <t>办公用品</t>
        </is>
      </c>
      <c r="K6" s="4" t="n">
        <v>32.5</v>
      </c>
      <c r="L6" t="inlineStr">
        <is>
          <t>长春朝阳店</t>
        </is>
      </c>
      <c r="M6" t="inlineStr">
        <is>
          <t>东北区</t>
        </is>
      </c>
      <c r="N6" t="inlineStr">
        <is>
          <t>刘洋</t>
        </is>
      </c>
      <c r="O6" t="inlineStr">
        <is>
          <t>S004</t>
        </is>
      </c>
    </row>
    <row r="7">
      <c r="A7" t="inlineStr">
        <is>
          <t>SO00005</t>
        </is>
      </c>
      <c r="B7" s="3" t="n">
        <v>46032</v>
      </c>
      <c r="C7" t="inlineStr">
        <is>
          <t>S005</t>
        </is>
      </c>
      <c r="D7" t="inlineStr">
        <is>
          <t>P0010</t>
        </is>
      </c>
      <c r="E7" t="n">
        <v>2</v>
      </c>
      <c r="F7" s="4" t="n">
        <v>299</v>
      </c>
      <c r="G7" s="4" t="n">
        <v>598</v>
      </c>
      <c r="H7" t="inlineStr">
        <is>
          <t>E006</t>
        </is>
      </c>
      <c r="I7" t="inlineStr">
        <is>
          <t>降噪耳机</t>
        </is>
      </c>
      <c r="J7" t="inlineStr">
        <is>
          <t>音频设备</t>
        </is>
      </c>
      <c r="K7" s="4" t="n">
        <v>299</v>
      </c>
      <c r="L7" t="inlineStr">
        <is>
          <t>沈阳和平店</t>
        </is>
      </c>
      <c r="M7" t="inlineStr">
        <is>
          <t>东北区</t>
        </is>
      </c>
      <c r="N7" t="inlineStr">
        <is>
          <t>陈晨</t>
        </is>
      </c>
      <c r="O7" t="inlineStr">
        <is>
          <t>S005</t>
        </is>
      </c>
    </row>
    <row r="8">
      <c r="A8" t="inlineStr">
        <is>
          <t>SO00006</t>
        </is>
      </c>
      <c r="B8" s="3" t="n">
        <v>46034</v>
      </c>
      <c r="C8" t="inlineStr">
        <is>
          <t>S006</t>
        </is>
      </c>
      <c r="D8" t="inlineStr">
        <is>
          <t>P0004</t>
        </is>
      </c>
      <c r="E8" t="n">
        <v>1</v>
      </c>
      <c r="F8" s="4" t="n">
        <v>899</v>
      </c>
      <c r="G8" s="4" t="n">
        <v>899</v>
      </c>
      <c r="H8" t="inlineStr">
        <is>
          <t>E007</t>
        </is>
      </c>
      <c r="I8" t="inlineStr">
        <is>
          <t>27英寸显示器</t>
        </is>
      </c>
      <c r="J8" t="inlineStr">
        <is>
          <t>电脑设备</t>
        </is>
      </c>
      <c r="K8" s="4" t="n">
        <v>899</v>
      </c>
      <c r="L8" t="inlineStr">
        <is>
          <t>大连中山店</t>
        </is>
      </c>
      <c r="M8" t="inlineStr">
        <is>
          <t>东北区</t>
        </is>
      </c>
      <c r="N8" t="inlineStr">
        <is>
          <t>孙磊</t>
        </is>
      </c>
      <c r="O8" t="inlineStr">
        <is>
          <t>S006</t>
        </is>
      </c>
    </row>
    <row r="9">
      <c r="A9" t="inlineStr">
        <is>
          <t>SO00007</t>
        </is>
      </c>
      <c r="B9" s="3" t="n">
        <v>46036</v>
      </c>
      <c r="C9" t="inlineStr">
        <is>
          <t>S001</t>
        </is>
      </c>
      <c r="D9" t="inlineStr">
        <is>
          <t>P0003</t>
        </is>
      </c>
      <c r="E9" t="n">
        <v>4</v>
      </c>
      <c r="F9" s="4" t="n">
        <v>29.9</v>
      </c>
      <c r="G9" s="4" t="n">
        <v>119.6</v>
      </c>
      <c r="H9" t="inlineStr">
        <is>
          <t>E002</t>
        </is>
      </c>
      <c r="I9" t="inlineStr">
        <is>
          <t>USB-C数据线</t>
        </is>
      </c>
      <c r="J9" t="inlineStr">
        <is>
          <t>数码配件</t>
        </is>
      </c>
      <c r="K9" s="4" t="n">
        <v>29.9</v>
      </c>
      <c r="L9" t="inlineStr">
        <is>
          <t>牡丹江中心店</t>
        </is>
      </c>
      <c r="M9" t="inlineStr">
        <is>
          <t>东北区</t>
        </is>
      </c>
      <c r="N9" t="inlineStr">
        <is>
          <t>李娜</t>
        </is>
      </c>
      <c r="O9" t="inlineStr">
        <is>
          <t>S001</t>
        </is>
      </c>
    </row>
    <row r="10">
      <c r="A10" t="inlineStr">
        <is>
          <t>SO00008</t>
        </is>
      </c>
      <c r="B10" s="3" t="n">
        <v>46038</v>
      </c>
      <c r="C10" t="inlineStr">
        <is>
          <t>S002</t>
        </is>
      </c>
      <c r="D10" t="inlineStr">
        <is>
          <t>P0005</t>
        </is>
      </c>
      <c r="E10" t="n">
        <v>2</v>
      </c>
      <c r="F10" s="4" t="n">
        <v>79</v>
      </c>
      <c r="G10" s="4" t="n">
        <v>158</v>
      </c>
      <c r="H10" t="inlineStr">
        <is>
          <t>E003</t>
        </is>
      </c>
      <c r="I10" t="inlineStr">
        <is>
          <t>笔记本支架</t>
        </is>
      </c>
      <c r="J10" t="inlineStr">
        <is>
          <t>办公用品</t>
        </is>
      </c>
      <c r="K10" s="4" t="n">
        <v>79</v>
      </c>
      <c r="L10" t="inlineStr">
        <is>
          <t>牡丹江西安店</t>
        </is>
      </c>
      <c r="M10" t="inlineStr">
        <is>
          <t>东北区</t>
        </is>
      </c>
      <c r="N10" t="inlineStr">
        <is>
          <t>王强</t>
        </is>
      </c>
      <c r="O10" t="inlineStr">
        <is>
          <t>S002</t>
        </is>
      </c>
    </row>
    <row r="11">
      <c r="A11" t="inlineStr">
        <is>
          <t>SO00009</t>
        </is>
      </c>
      <c r="B11" s="3" t="n">
        <v>46040</v>
      </c>
      <c r="C11" t="inlineStr">
        <is>
          <t>S003</t>
        </is>
      </c>
      <c r="D11" t="inlineStr">
        <is>
          <t>P0009</t>
        </is>
      </c>
      <c r="E11" t="n">
        <v>3</v>
      </c>
      <c r="F11" s="4" t="n">
        <v>69.90000000000001</v>
      </c>
      <c r="G11" s="4" t="n">
        <v>209.7</v>
      </c>
      <c r="H11" t="inlineStr">
        <is>
          <t>E004</t>
        </is>
      </c>
      <c r="I11" t="inlineStr">
        <is>
          <t>U盘64G</t>
        </is>
      </c>
      <c r="J11" t="inlineStr">
        <is>
          <t>存储设备</t>
        </is>
      </c>
      <c r="K11" s="4" t="n">
        <v>69.90000000000001</v>
      </c>
      <c r="L11" t="inlineStr">
        <is>
          <t>哈尔滨南岗店</t>
        </is>
      </c>
      <c r="M11" t="inlineStr">
        <is>
          <t>东北区</t>
        </is>
      </c>
      <c r="N11" t="inlineStr">
        <is>
          <t>赵敏</t>
        </is>
      </c>
      <c r="O11" t="inlineStr">
        <is>
          <t>S003</t>
        </is>
      </c>
    </row>
    <row r="12">
      <c r="A12" t="inlineStr">
        <is>
          <t>SO00010</t>
        </is>
      </c>
      <c r="B12" s="3" t="n">
        <v>46042</v>
      </c>
      <c r="C12" t="inlineStr">
        <is>
          <t>S004</t>
        </is>
      </c>
      <c r="D12" t="inlineStr">
        <is>
          <t>P0007</t>
        </is>
      </c>
      <c r="E12" t="n">
        <v>10</v>
      </c>
      <c r="F12" s="4" t="n">
        <v>3.5</v>
      </c>
      <c r="G12" s="4" t="n">
        <v>35</v>
      </c>
      <c r="H12" t="inlineStr">
        <is>
          <t>E005</t>
        </is>
      </c>
      <c r="I12" t="inlineStr">
        <is>
          <t>中性笔</t>
        </is>
      </c>
      <c r="J12" t="inlineStr">
        <is>
          <t>办公用品</t>
        </is>
      </c>
      <c r="K12" s="4" t="n">
        <v>3.5</v>
      </c>
      <c r="L12" t="inlineStr">
        <is>
          <t>长春朝阳店</t>
        </is>
      </c>
      <c r="M12" t="inlineStr">
        <is>
          <t>东北区</t>
        </is>
      </c>
      <c r="N12" t="inlineStr">
        <is>
          <t>刘洋</t>
        </is>
      </c>
      <c r="O12" t="inlineStr">
        <is>
          <t>S004</t>
        </is>
      </c>
    </row>
    <row r="13">
      <c r="A13" t="inlineStr">
        <is>
          <t>SO00011</t>
        </is>
      </c>
      <c r="B13" s="3" t="n">
        <v>46044</v>
      </c>
      <c r="C13" t="inlineStr">
        <is>
          <t>S005</t>
        </is>
      </c>
      <c r="D13" t="inlineStr">
        <is>
          <t>P0002</t>
        </is>
      </c>
      <c r="E13" t="n">
        <v>2</v>
      </c>
      <c r="F13" s="4" t="n">
        <v>59.9</v>
      </c>
      <c r="G13" s="4" t="n">
        <v>119.8</v>
      </c>
      <c r="H13" t="inlineStr">
        <is>
          <t>E006</t>
        </is>
      </c>
      <c r="I13" t="inlineStr">
        <is>
          <t>无线鼠标</t>
        </is>
      </c>
      <c r="J13" t="inlineStr">
        <is>
          <t>电脑外设</t>
        </is>
      </c>
      <c r="K13" s="4" t="n">
        <v>59.9</v>
      </c>
      <c r="L13" t="inlineStr">
        <is>
          <t>沈阳和平店</t>
        </is>
      </c>
      <c r="M13" t="inlineStr">
        <is>
          <t>东北区</t>
        </is>
      </c>
      <c r="N13" t="inlineStr">
        <is>
          <t>陈晨</t>
        </is>
      </c>
      <c r="O13" t="inlineStr">
        <is>
          <t>S005</t>
        </is>
      </c>
    </row>
    <row r="14">
      <c r="A14" t="inlineStr">
        <is>
          <t>SO00012</t>
        </is>
      </c>
      <c r="B14" s="3" t="n">
        <v>46046</v>
      </c>
      <c r="C14" t="inlineStr">
        <is>
          <t>S006</t>
        </is>
      </c>
      <c r="D14" t="inlineStr">
        <is>
          <t>P0008</t>
        </is>
      </c>
      <c r="E14" t="n">
        <v>1</v>
      </c>
      <c r="F14" s="4" t="n">
        <v>499</v>
      </c>
      <c r="G14" s="4" t="n">
        <v>499</v>
      </c>
      <c r="H14" t="inlineStr">
        <is>
          <t>E007</t>
        </is>
      </c>
      <c r="I14" t="inlineStr">
        <is>
          <t>移动硬盘</t>
        </is>
      </c>
      <c r="J14" t="inlineStr">
        <is>
          <t>存储设备</t>
        </is>
      </c>
      <c r="K14" s="4" t="n">
        <v>499</v>
      </c>
      <c r="L14" t="inlineStr">
        <is>
          <t>大连中山店</t>
        </is>
      </c>
      <c r="M14" t="inlineStr">
        <is>
          <t>东北区</t>
        </is>
      </c>
      <c r="N14" t="inlineStr">
        <is>
          <t>孙磊</t>
        </is>
      </c>
      <c r="O14" t="inlineStr">
        <is>
          <t>S006</t>
        </is>
      </c>
    </row>
    <row r="15">
      <c r="A15" t="inlineStr">
        <is>
          <t>SO00013</t>
        </is>
      </c>
      <c r="B15" s="3" t="n">
        <v>46047</v>
      </c>
      <c r="C15" t="inlineStr">
        <is>
          <t>S001</t>
        </is>
      </c>
      <c r="D15" t="inlineStr">
        <is>
          <t>P0004</t>
        </is>
      </c>
      <c r="E15" t="n">
        <v>1</v>
      </c>
      <c r="F15" s="4" t="n">
        <v>899</v>
      </c>
      <c r="G15" s="4" t="n">
        <v>899</v>
      </c>
      <c r="H15" t="inlineStr">
        <is>
          <t>E001</t>
        </is>
      </c>
      <c r="I15" t="inlineStr">
        <is>
          <t>27英寸显示器</t>
        </is>
      </c>
      <c r="J15" t="inlineStr">
        <is>
          <t>电脑设备</t>
        </is>
      </c>
      <c r="K15" s="4" t="n">
        <v>899</v>
      </c>
      <c r="L15" t="inlineStr">
        <is>
          <t>牡丹江中心店</t>
        </is>
      </c>
      <c r="M15" t="inlineStr">
        <is>
          <t>东北区</t>
        </is>
      </c>
      <c r="N15" t="inlineStr">
        <is>
          <t>张伟</t>
        </is>
      </c>
      <c r="O15" t="inlineStr">
        <is>
          <t>S001</t>
        </is>
      </c>
    </row>
    <row r="16">
      <c r="A16" t="inlineStr">
        <is>
          <t>SO00014</t>
        </is>
      </c>
      <c r="B16" s="3" t="n">
        <v>46049</v>
      </c>
      <c r="C16" t="inlineStr">
        <is>
          <t>S002</t>
        </is>
      </c>
      <c r="D16" t="inlineStr">
        <is>
          <t>P0010</t>
        </is>
      </c>
      <c r="E16" t="n">
        <v>2</v>
      </c>
      <c r="F16" s="4" t="n">
        <v>299</v>
      </c>
      <c r="G16" s="4" t="n">
        <v>598</v>
      </c>
      <c r="H16" t="inlineStr">
        <is>
          <t>E003</t>
        </is>
      </c>
      <c r="I16" t="inlineStr">
        <is>
          <t>降噪耳机</t>
        </is>
      </c>
      <c r="J16" t="inlineStr">
        <is>
          <t>音频设备</t>
        </is>
      </c>
      <c r="K16" s="4" t="n">
        <v>299</v>
      </c>
      <c r="L16" t="inlineStr">
        <is>
          <t>牡丹江西安店</t>
        </is>
      </c>
      <c r="M16" t="inlineStr">
        <is>
          <t>东北区</t>
        </is>
      </c>
      <c r="N16" t="inlineStr">
        <is>
          <t>王强</t>
        </is>
      </c>
      <c r="O16" t="inlineStr">
        <is>
          <t>S002</t>
        </is>
      </c>
    </row>
    <row r="17">
      <c r="A17" t="inlineStr">
        <is>
          <t>SO00015</t>
        </is>
      </c>
      <c r="B17" s="3" t="n">
        <v>46050</v>
      </c>
      <c r="C17" t="inlineStr">
        <is>
          <t>S003</t>
        </is>
      </c>
      <c r="D17" t="inlineStr">
        <is>
          <t>P0006</t>
        </is>
      </c>
      <c r="E17" t="n">
        <v>6</v>
      </c>
      <c r="F17" s="4" t="n">
        <v>32.5</v>
      </c>
      <c r="G17" s="4" t="n">
        <v>195</v>
      </c>
      <c r="H17" t="inlineStr">
        <is>
          <t>E004</t>
        </is>
      </c>
      <c r="I17" t="inlineStr">
        <is>
          <t>A4打印纸</t>
        </is>
      </c>
      <c r="J17" t="inlineStr">
        <is>
          <t>办公用品</t>
        </is>
      </c>
      <c r="K17" s="4" t="n">
        <v>32.5</v>
      </c>
      <c r="L17" t="inlineStr">
        <is>
          <t>哈尔滨南岗店</t>
        </is>
      </c>
      <c r="M17" t="inlineStr">
        <is>
          <t>东北区</t>
        </is>
      </c>
      <c r="N17" t="inlineStr">
        <is>
          <t>赵敏</t>
        </is>
      </c>
      <c r="O17" t="inlineStr">
        <is>
          <t>S003</t>
        </is>
      </c>
    </row>
    <row r="18">
      <c r="A18" t="inlineStr">
        <is>
          <t>SO00016</t>
        </is>
      </c>
      <c r="B18" s="3" t="n">
        <v>46049</v>
      </c>
      <c r="C18" t="inlineStr">
        <is>
          <t>S001</t>
        </is>
      </c>
      <c r="D18" t="inlineStr">
        <is>
          <t>P0007</t>
        </is>
      </c>
      <c r="E18" t="n">
        <v>5</v>
      </c>
      <c r="F18" s="4" t="n">
        <v>3.5</v>
      </c>
      <c r="G18" s="4" t="n">
        <v>17.5</v>
      </c>
      <c r="H18" t="inlineStr">
        <is>
          <t>E002</t>
        </is>
      </c>
      <c r="I18" t="inlineStr">
        <is>
          <t>中性笔</t>
        </is>
      </c>
      <c r="J18" t="inlineStr">
        <is>
          <t>办公用品</t>
        </is>
      </c>
      <c r="K18" s="4" t="n">
        <v>3.5</v>
      </c>
      <c r="L18" t="inlineStr">
        <is>
          <t>牡丹江中心店</t>
        </is>
      </c>
      <c r="M18" t="inlineStr">
        <is>
          <t>东北区</t>
        </is>
      </c>
      <c r="N18" t="inlineStr">
        <is>
          <t>李娜</t>
        </is>
      </c>
      <c r="O18" t="inlineStr">
        <is>
          <t>S001</t>
        </is>
      </c>
    </row>
    <row r="19">
      <c r="A19" t="inlineStr">
        <is>
          <t>SO00017</t>
        </is>
      </c>
      <c r="B19" s="3" t="n">
        <v>46029</v>
      </c>
      <c r="C19" t="inlineStr">
        <is>
          <t>S005</t>
        </is>
      </c>
      <c r="D19" t="inlineStr">
        <is>
          <t>P0004</t>
        </is>
      </c>
      <c r="E19" t="n">
        <v>8</v>
      </c>
      <c r="F19" s="4" t="n">
        <v>899</v>
      </c>
      <c r="G19" s="4" t="n">
        <v>7192</v>
      </c>
      <c r="H19" t="inlineStr">
        <is>
          <t>E006</t>
        </is>
      </c>
      <c r="I19" t="inlineStr">
        <is>
          <t>27英寸显示器</t>
        </is>
      </c>
      <c r="J19" t="inlineStr">
        <is>
          <t>电脑设备</t>
        </is>
      </c>
      <c r="K19" s="4" t="n">
        <v>899</v>
      </c>
      <c r="L19" t="inlineStr">
        <is>
          <t>沈阳和平店</t>
        </is>
      </c>
      <c r="M19" t="inlineStr">
        <is>
          <t>东北区</t>
        </is>
      </c>
      <c r="N19" t="inlineStr">
        <is>
          <t>陈晨</t>
        </is>
      </c>
      <c r="O19" t="inlineStr">
        <is>
          <t>S005</t>
        </is>
      </c>
    </row>
    <row r="20">
      <c r="A20" t="inlineStr">
        <is>
          <t>SO00018</t>
        </is>
      </c>
      <c r="B20" s="3" t="n">
        <v>46074</v>
      </c>
      <c r="C20" t="inlineStr">
        <is>
          <t>S004</t>
        </is>
      </c>
      <c r="D20" t="inlineStr">
        <is>
          <t>P0005</t>
        </is>
      </c>
      <c r="E20" t="n">
        <v>3</v>
      </c>
      <c r="F20" s="4" t="n">
        <v>79</v>
      </c>
      <c r="G20" s="4" t="n">
        <v>237</v>
      </c>
      <c r="H20" t="inlineStr">
        <is>
          <t>E005</t>
        </is>
      </c>
      <c r="I20" t="inlineStr">
        <is>
          <t>笔记本支架</t>
        </is>
      </c>
      <c r="J20" t="inlineStr">
        <is>
          <t>办公用品</t>
        </is>
      </c>
      <c r="K20" s="4" t="n">
        <v>79</v>
      </c>
      <c r="L20" t="inlineStr">
        <is>
          <t>长春朝阳店</t>
        </is>
      </c>
      <c r="M20" t="inlineStr">
        <is>
          <t>东北区</t>
        </is>
      </c>
      <c r="N20" t="inlineStr">
        <is>
          <t>刘洋</t>
        </is>
      </c>
      <c r="O20" t="inlineStr">
        <is>
          <t>S004</t>
        </is>
      </c>
    </row>
    <row r="21">
      <c r="A21" t="inlineStr">
        <is>
          <t>SO00019</t>
        </is>
      </c>
      <c r="B21" s="3" t="n">
        <v>46046</v>
      </c>
      <c r="C21" t="inlineStr">
        <is>
          <t>S005</t>
        </is>
      </c>
      <c r="D21" t="inlineStr">
        <is>
          <t>P0010</t>
        </is>
      </c>
      <c r="E21" t="n">
        <v>7</v>
      </c>
      <c r="F21" s="4" t="n">
        <v>299</v>
      </c>
      <c r="G21" s="4" t="n">
        <v>0</v>
      </c>
      <c r="H21" t="inlineStr">
        <is>
          <t>E006</t>
        </is>
      </c>
      <c r="I21" t="inlineStr">
        <is>
          <t>降噪耳机</t>
        </is>
      </c>
      <c r="J21" t="inlineStr">
        <is>
          <t>音频设备</t>
        </is>
      </c>
      <c r="K21" s="4" t="n">
        <v>299</v>
      </c>
      <c r="L21" t="inlineStr">
        <is>
          <t>沈阳和平店</t>
        </is>
      </c>
      <c r="M21" t="inlineStr">
        <is>
          <t>东北区</t>
        </is>
      </c>
      <c r="N21" t="inlineStr">
        <is>
          <t>陈晨</t>
        </is>
      </c>
      <c r="O21" t="inlineStr">
        <is>
          <t>S005</t>
        </is>
      </c>
    </row>
    <row r="22">
      <c r="A22" t="inlineStr">
        <is>
          <t>SO00020</t>
        </is>
      </c>
      <c r="B22" s="3" t="n">
        <v>46094</v>
      </c>
      <c r="C22" t="inlineStr">
        <is>
          <t>S003</t>
        </is>
      </c>
      <c r="D22" t="inlineStr">
        <is>
          <t>P0003</t>
        </is>
      </c>
      <c r="E22" t="n">
        <v>8</v>
      </c>
      <c r="F22" s="4" t="n">
        <v>29.9</v>
      </c>
      <c r="G22" s="4" t="n">
        <v>239.2</v>
      </c>
      <c r="H22" t="inlineStr">
        <is>
          <t>E004</t>
        </is>
      </c>
      <c r="I22" t="inlineStr">
        <is>
          <t>USB-C数据线</t>
        </is>
      </c>
      <c r="J22" t="inlineStr">
        <is>
          <t>数码配件</t>
        </is>
      </c>
      <c r="K22" s="4" t="n">
        <v>29.9</v>
      </c>
      <c r="L22" t="inlineStr">
        <is>
          <t>哈尔滨南岗店</t>
        </is>
      </c>
      <c r="M22" t="inlineStr">
        <is>
          <t>东北区</t>
        </is>
      </c>
      <c r="N22" t="inlineStr">
        <is>
          <t>赵敏</t>
        </is>
      </c>
      <c r="O22" t="inlineStr">
        <is>
          <t>S003</t>
        </is>
      </c>
    </row>
    <row r="23">
      <c r="A23" t="inlineStr">
        <is>
          <t>SO00021</t>
        </is>
      </c>
      <c r="B23" s="3" t="n">
        <v>46047</v>
      </c>
      <c r="C23" t="inlineStr">
        <is>
          <t>S001</t>
        </is>
      </c>
      <c r="D23" t="inlineStr">
        <is>
          <t>P0003</t>
        </is>
      </c>
      <c r="E23" t="n">
        <v>3</v>
      </c>
      <c r="F23" s="4" t="n">
        <v>29.9</v>
      </c>
      <c r="G23" s="4" t="n">
        <v>89.7</v>
      </c>
      <c r="H23" t="inlineStr">
        <is>
          <t>E001</t>
        </is>
      </c>
      <c r="I23" t="inlineStr">
        <is>
          <t>USB-C数据线</t>
        </is>
      </c>
      <c r="J23" t="inlineStr">
        <is>
          <t>数码配件</t>
        </is>
      </c>
      <c r="K23" s="4" t="n">
        <v>29.9</v>
      </c>
      <c r="L23" t="inlineStr">
        <is>
          <t>牡丹江中心店</t>
        </is>
      </c>
      <c r="M23" t="inlineStr">
        <is>
          <t>东北区</t>
        </is>
      </c>
      <c r="N23" t="inlineStr">
        <is>
          <t>张伟</t>
        </is>
      </c>
      <c r="O23" t="inlineStr">
        <is>
          <t>S001</t>
        </is>
      </c>
    </row>
    <row r="24">
      <c r="A24" t="inlineStr">
        <is>
          <t>SO00023</t>
        </is>
      </c>
      <c r="B24" s="3" t="n">
        <v>46096</v>
      </c>
      <c r="C24" t="inlineStr">
        <is>
          <t>S005</t>
        </is>
      </c>
      <c r="D24" t="inlineStr">
        <is>
          <t>P0009</t>
        </is>
      </c>
      <c r="E24" t="n">
        <v>1</v>
      </c>
      <c r="F24" s="4" t="n">
        <v>69.90000000000001</v>
      </c>
      <c r="G24" s="4" t="n">
        <v>69.90000000000001</v>
      </c>
      <c r="H24" t="inlineStr">
        <is>
          <t>E006</t>
        </is>
      </c>
      <c r="I24" t="inlineStr">
        <is>
          <t>U盘64G</t>
        </is>
      </c>
      <c r="J24" t="inlineStr">
        <is>
          <t>存储设备</t>
        </is>
      </c>
      <c r="K24" s="4" t="n">
        <v>69.90000000000001</v>
      </c>
      <c r="L24" t="inlineStr">
        <is>
          <t>沈阳和平店</t>
        </is>
      </c>
      <c r="M24" t="inlineStr">
        <is>
          <t>东北区</t>
        </is>
      </c>
      <c r="N24" t="inlineStr">
        <is>
          <t>陈晨</t>
        </is>
      </c>
      <c r="O24" t="inlineStr">
        <is>
          <t>S005</t>
        </is>
      </c>
    </row>
    <row r="25">
      <c r="A25" t="inlineStr">
        <is>
          <t>SO00024</t>
        </is>
      </c>
      <c r="B25" s="3" t="n">
        <v>46105</v>
      </c>
      <c r="C25" t="inlineStr">
        <is>
          <t>S001</t>
        </is>
      </c>
      <c r="D25" t="inlineStr">
        <is>
          <t>P0006</t>
        </is>
      </c>
      <c r="E25" t="n">
        <v>2</v>
      </c>
      <c r="F25" s="4" t="n">
        <v>32.5</v>
      </c>
      <c r="G25" s="4" t="n">
        <v>65</v>
      </c>
      <c r="H25" t="inlineStr">
        <is>
          <t>E002</t>
        </is>
      </c>
      <c r="I25" t="inlineStr">
        <is>
          <t>A4打印纸</t>
        </is>
      </c>
      <c r="J25" t="inlineStr">
        <is>
          <t>办公用品</t>
        </is>
      </c>
      <c r="K25" s="4" t="n">
        <v>32.5</v>
      </c>
      <c r="L25" t="inlineStr">
        <is>
          <t>牡丹江中心店</t>
        </is>
      </c>
      <c r="M25" t="inlineStr">
        <is>
          <t>东北区</t>
        </is>
      </c>
      <c r="N25" t="inlineStr">
        <is>
          <t>李娜</t>
        </is>
      </c>
      <c r="O25" t="inlineStr">
        <is>
          <t>S001</t>
        </is>
      </c>
    </row>
    <row r="26">
      <c r="A26" t="inlineStr">
        <is>
          <t>SO00026</t>
        </is>
      </c>
      <c r="B26" s="3" t="n">
        <v>46106</v>
      </c>
      <c r="C26" t="inlineStr">
        <is>
          <t>S002</t>
        </is>
      </c>
      <c r="D26" t="inlineStr">
        <is>
          <t>P0005</t>
        </is>
      </c>
      <c r="E26" t="n">
        <v>4</v>
      </c>
      <c r="F26" s="4" t="n">
        <v>79</v>
      </c>
      <c r="G26" s="4" t="n">
        <v>316</v>
      </c>
      <c r="H26" t="inlineStr">
        <is>
          <t>E003</t>
        </is>
      </c>
      <c r="I26" t="inlineStr">
        <is>
          <t>笔记本支架</t>
        </is>
      </c>
      <c r="J26" t="inlineStr">
        <is>
          <t>办公用品</t>
        </is>
      </c>
      <c r="K26" s="4" t="n">
        <v>79</v>
      </c>
      <c r="L26" t="inlineStr">
        <is>
          <t>牡丹江西安店</t>
        </is>
      </c>
      <c r="M26" t="inlineStr">
        <is>
          <t>东北区</t>
        </is>
      </c>
      <c r="N26" t="inlineStr">
        <is>
          <t>王强</t>
        </is>
      </c>
      <c r="O26" t="inlineStr">
        <is>
          <t>S002</t>
        </is>
      </c>
    </row>
    <row r="27">
      <c r="A27" t="inlineStr">
        <is>
          <t>SO00027</t>
        </is>
      </c>
      <c r="B27" s="3" t="n">
        <v>46034</v>
      </c>
      <c r="C27" t="inlineStr">
        <is>
          <t>S002</t>
        </is>
      </c>
      <c r="D27" t="inlineStr">
        <is>
          <t>P0010</t>
        </is>
      </c>
      <c r="E27" t="n">
        <v>3</v>
      </c>
      <c r="F27" s="4" t="n">
        <v>299</v>
      </c>
      <c r="G27" s="4" t="n">
        <v>1794</v>
      </c>
      <c r="H27" t="inlineStr">
        <is>
          <t>E003</t>
        </is>
      </c>
      <c r="I27" t="inlineStr">
        <is>
          <t>降噪耳机</t>
        </is>
      </c>
      <c r="J27" t="inlineStr">
        <is>
          <t>音频设备</t>
        </is>
      </c>
      <c r="K27" s="4" t="n">
        <v>299</v>
      </c>
      <c r="L27" t="inlineStr">
        <is>
          <t>牡丹江西安店</t>
        </is>
      </c>
      <c r="M27" t="inlineStr">
        <is>
          <t>东北区</t>
        </is>
      </c>
      <c r="N27" t="inlineStr">
        <is>
          <t>王强</t>
        </is>
      </c>
      <c r="O27" t="inlineStr">
        <is>
          <t>S002</t>
        </is>
      </c>
    </row>
    <row r="28">
      <c r="A28" t="inlineStr">
        <is>
          <t>SO00028</t>
        </is>
      </c>
      <c r="B28" s="3" t="n">
        <v>46054</v>
      </c>
      <c r="C28" t="inlineStr">
        <is>
          <t>S001</t>
        </is>
      </c>
      <c r="D28" t="inlineStr">
        <is>
          <t>P0005</t>
        </is>
      </c>
      <c r="E28" t="n">
        <v>4</v>
      </c>
      <c r="F28" s="4" t="n">
        <v>79</v>
      </c>
      <c r="G28" s="4" t="n">
        <v>316</v>
      </c>
      <c r="H28" t="inlineStr">
        <is>
          <t>E002</t>
        </is>
      </c>
      <c r="I28" t="inlineStr">
        <is>
          <t>笔记本支架</t>
        </is>
      </c>
      <c r="J28" t="inlineStr">
        <is>
          <t>办公用品</t>
        </is>
      </c>
      <c r="K28" s="4" t="n">
        <v>79</v>
      </c>
      <c r="L28" t="inlineStr">
        <is>
          <t>牡丹江中心店</t>
        </is>
      </c>
      <c r="M28" t="inlineStr">
        <is>
          <t>东北区</t>
        </is>
      </c>
      <c r="N28" t="inlineStr">
        <is>
          <t>李娜</t>
        </is>
      </c>
      <c r="O28" t="inlineStr">
        <is>
          <t>S001</t>
        </is>
      </c>
    </row>
    <row r="29">
      <c r="A29" t="inlineStr">
        <is>
          <t>SO00029</t>
        </is>
      </c>
      <c r="B29" s="3" t="n">
        <v>46030</v>
      </c>
      <c r="C29" t="inlineStr">
        <is>
          <t>S005</t>
        </is>
      </c>
      <c r="D29" t="inlineStr">
        <is>
          <t>P0002</t>
        </is>
      </c>
      <c r="E29" t="n">
        <v>8</v>
      </c>
      <c r="F29" s="4" t="n">
        <v>59.9</v>
      </c>
      <c r="G29" s="4" t="n">
        <v>479.2</v>
      </c>
      <c r="H29" t="inlineStr">
        <is>
          <t>E006</t>
        </is>
      </c>
      <c r="I29" t="inlineStr">
        <is>
          <t>无线鼠标</t>
        </is>
      </c>
      <c r="J29" t="inlineStr">
        <is>
          <t>电脑外设</t>
        </is>
      </c>
      <c r="K29" s="4" t="n">
        <v>59.9</v>
      </c>
      <c r="L29" t="inlineStr">
        <is>
          <t>沈阳和平店</t>
        </is>
      </c>
      <c r="M29" t="inlineStr">
        <is>
          <t>东北区</t>
        </is>
      </c>
      <c r="N29" t="inlineStr">
        <is>
          <t>陈晨</t>
        </is>
      </c>
      <c r="O29" t="inlineStr">
        <is>
          <t>S005</t>
        </is>
      </c>
    </row>
    <row r="30">
      <c r="A30" t="inlineStr">
        <is>
          <t>SO00030</t>
        </is>
      </c>
      <c r="B30" s="3" t="n">
        <v>46047</v>
      </c>
      <c r="C30" t="inlineStr">
        <is>
          <t>S005</t>
        </is>
      </c>
      <c r="D30" t="inlineStr">
        <is>
          <t>P0003</t>
        </is>
      </c>
      <c r="E30" t="n">
        <v>8</v>
      </c>
      <c r="F30" s="4" t="n">
        <v>29.9</v>
      </c>
      <c r="G30" s="4" t="n">
        <v>239.2</v>
      </c>
      <c r="H30" t="inlineStr">
        <is>
          <t>E006</t>
        </is>
      </c>
      <c r="I30" t="inlineStr">
        <is>
          <t>USB-C数据线</t>
        </is>
      </c>
      <c r="J30" t="inlineStr">
        <is>
          <t>数码配件</t>
        </is>
      </c>
      <c r="K30" s="4" t="n">
        <v>29.9</v>
      </c>
      <c r="L30" t="inlineStr">
        <is>
          <t>沈阳和平店</t>
        </is>
      </c>
      <c r="M30" t="inlineStr">
        <is>
          <t>东北区</t>
        </is>
      </c>
      <c r="N30" t="inlineStr">
        <is>
          <t>陈晨</t>
        </is>
      </c>
      <c r="O30" t="inlineStr">
        <is>
          <t>S005</t>
        </is>
      </c>
    </row>
    <row r="31">
      <c r="A31" t="inlineStr">
        <is>
          <t>SO00031</t>
        </is>
      </c>
      <c r="B31" s="3" t="n">
        <v>46087</v>
      </c>
      <c r="C31" t="inlineStr">
        <is>
          <t>S003</t>
        </is>
      </c>
      <c r="D31" t="inlineStr">
        <is>
          <t>P0004</t>
        </is>
      </c>
      <c r="E31" t="n">
        <v>4</v>
      </c>
      <c r="F31" s="4" t="n">
        <v>899</v>
      </c>
      <c r="G31" s="4" t="n">
        <v>3596</v>
      </c>
      <c r="H31" t="inlineStr">
        <is>
          <t>E004</t>
        </is>
      </c>
      <c r="I31" t="inlineStr">
        <is>
          <t>27英寸显示器</t>
        </is>
      </c>
      <c r="J31" t="inlineStr">
        <is>
          <t>电脑设备</t>
        </is>
      </c>
      <c r="K31" s="4" t="n">
        <v>899</v>
      </c>
      <c r="L31" t="inlineStr">
        <is>
          <t>哈尔滨南岗店</t>
        </is>
      </c>
      <c r="M31" t="inlineStr">
        <is>
          <t>东北区</t>
        </is>
      </c>
      <c r="N31" t="inlineStr">
        <is>
          <t>赵敏</t>
        </is>
      </c>
      <c r="O31" t="inlineStr">
        <is>
          <t>S003</t>
        </is>
      </c>
    </row>
    <row r="32">
      <c r="A32" t="inlineStr">
        <is>
          <t>SO00032</t>
        </is>
      </c>
      <c r="B32" s="3" t="n">
        <v>46091</v>
      </c>
      <c r="C32" t="inlineStr">
        <is>
          <t>S004</t>
        </is>
      </c>
      <c r="D32" t="inlineStr">
        <is>
          <t>P0008</t>
        </is>
      </c>
      <c r="E32" t="n">
        <v>8</v>
      </c>
      <c r="F32" s="4" t="n">
        <v>499</v>
      </c>
      <c r="G32" s="4" t="n">
        <v>3992</v>
      </c>
      <c r="H32" t="inlineStr">
        <is>
          <t>E005</t>
        </is>
      </c>
      <c r="I32" t="inlineStr">
        <is>
          <t>移动硬盘</t>
        </is>
      </c>
      <c r="J32" t="inlineStr">
        <is>
          <t>存储设备</t>
        </is>
      </c>
      <c r="K32" s="4" t="n">
        <v>499</v>
      </c>
      <c r="L32" t="inlineStr">
        <is>
          <t>长春朝阳店</t>
        </is>
      </c>
      <c r="M32" t="inlineStr">
        <is>
          <t>东北区</t>
        </is>
      </c>
      <c r="N32" t="inlineStr">
        <is>
          <t>刘洋</t>
        </is>
      </c>
      <c r="O32" t="inlineStr">
        <is>
          <t>S004</t>
        </is>
      </c>
    </row>
    <row r="33">
      <c r="A33" t="inlineStr">
        <is>
          <t>SO00034</t>
        </is>
      </c>
      <c r="B33" s="3" t="n">
        <v>46099</v>
      </c>
      <c r="C33" t="inlineStr">
        <is>
          <t>S002</t>
        </is>
      </c>
      <c r="D33" t="inlineStr">
        <is>
          <t>P0001</t>
        </is>
      </c>
      <c r="E33" t="n">
        <v>2</v>
      </c>
      <c r="F33" s="4" t="n">
        <v>129</v>
      </c>
      <c r="G33" s="4" t="n">
        <v>258</v>
      </c>
      <c r="H33" t="inlineStr">
        <is>
          <t>E003</t>
        </is>
      </c>
      <c r="I33" t="inlineStr">
        <is>
          <t>机械键盘</t>
        </is>
      </c>
      <c r="J33" t="inlineStr">
        <is>
          <t>电脑外设</t>
        </is>
      </c>
      <c r="K33" s="4" t="n">
        <v>129</v>
      </c>
      <c r="L33" t="inlineStr">
        <is>
          <t>牡丹江西安店</t>
        </is>
      </c>
      <c r="M33" t="inlineStr">
        <is>
          <t>东北区</t>
        </is>
      </c>
      <c r="N33" t="inlineStr">
        <is>
          <t>王强</t>
        </is>
      </c>
      <c r="O33" t="inlineStr">
        <is>
          <t>S002</t>
        </is>
      </c>
    </row>
    <row r="34">
      <c r="A34" t="inlineStr">
        <is>
          <t>SO00035</t>
        </is>
      </c>
      <c r="B34" s="3" t="n">
        <v>46102</v>
      </c>
      <c r="C34" t="inlineStr">
        <is>
          <t>S001</t>
        </is>
      </c>
      <c r="D34" t="inlineStr">
        <is>
          <t>P0002</t>
        </is>
      </c>
      <c r="E34" t="n">
        <v>1</v>
      </c>
      <c r="F34" s="4" t="n">
        <v>59.9</v>
      </c>
      <c r="G34" s="4" t="n">
        <v>59.9</v>
      </c>
      <c r="H34" t="inlineStr">
        <is>
          <t>E001</t>
        </is>
      </c>
      <c r="I34" t="inlineStr">
        <is>
          <t>无线鼠标</t>
        </is>
      </c>
      <c r="J34" t="inlineStr">
        <is>
          <t>电脑外设</t>
        </is>
      </c>
      <c r="K34" s="4" t="n">
        <v>59.9</v>
      </c>
      <c r="L34" t="inlineStr">
        <is>
          <t>牡丹江中心店</t>
        </is>
      </c>
      <c r="M34" t="inlineStr">
        <is>
          <t>东北区</t>
        </is>
      </c>
      <c r="N34" t="inlineStr">
        <is>
          <t>张伟</t>
        </is>
      </c>
      <c r="O34" t="inlineStr">
        <is>
          <t>S001</t>
        </is>
      </c>
    </row>
    <row r="35">
      <c r="A35" t="inlineStr">
        <is>
          <t>SO00037</t>
        </is>
      </c>
      <c r="B35" s="3" t="n">
        <v>46040</v>
      </c>
      <c r="C35" t="inlineStr">
        <is>
          <t>S002</t>
        </is>
      </c>
      <c r="D35" t="inlineStr">
        <is>
          <t>P0004</t>
        </is>
      </c>
      <c r="E35" t="n">
        <v>8</v>
      </c>
      <c r="F35" s="4" t="n">
        <v>899</v>
      </c>
      <c r="G35" s="4" t="n">
        <v>7192</v>
      </c>
      <c r="H35" t="inlineStr">
        <is>
          <t>E003</t>
        </is>
      </c>
      <c r="I35" t="inlineStr">
        <is>
          <t>27英寸显示器</t>
        </is>
      </c>
      <c r="J35" t="inlineStr">
        <is>
          <t>电脑设备</t>
        </is>
      </c>
      <c r="K35" s="4" t="n">
        <v>899</v>
      </c>
      <c r="L35" t="inlineStr">
        <is>
          <t>牡丹江西安店</t>
        </is>
      </c>
      <c r="M35" t="inlineStr">
        <is>
          <t>东北区</t>
        </is>
      </c>
      <c r="N35" t="inlineStr">
        <is>
          <t>王强</t>
        </is>
      </c>
      <c r="O35" t="inlineStr">
        <is>
          <t>S002</t>
        </is>
      </c>
    </row>
    <row r="36">
      <c r="A36" t="inlineStr">
        <is>
          <t>SO00039</t>
        </is>
      </c>
      <c r="B36" s="3" t="n">
        <v>46067</v>
      </c>
      <c r="C36" t="inlineStr">
        <is>
          <t>S004</t>
        </is>
      </c>
      <c r="D36" t="inlineStr">
        <is>
          <t>P0002</t>
        </is>
      </c>
      <c r="E36" t="n">
        <v>1</v>
      </c>
      <c r="F36" s="4" t="n">
        <v>59.9</v>
      </c>
      <c r="G36" s="4" t="n">
        <v>59.9</v>
      </c>
      <c r="H36" t="inlineStr">
        <is>
          <t>E005</t>
        </is>
      </c>
      <c r="I36" t="inlineStr">
        <is>
          <t>无线鼠标</t>
        </is>
      </c>
      <c r="J36" t="inlineStr">
        <is>
          <t>电脑外设</t>
        </is>
      </c>
      <c r="K36" s="4" t="n">
        <v>59.9</v>
      </c>
      <c r="L36" t="inlineStr">
        <is>
          <t>长春朝阳店</t>
        </is>
      </c>
      <c r="M36" t="inlineStr">
        <is>
          <t>东北区</t>
        </is>
      </c>
      <c r="N36" t="inlineStr">
        <is>
          <t>刘洋</t>
        </is>
      </c>
      <c r="O36" t="inlineStr">
        <is>
          <t>S004</t>
        </is>
      </c>
    </row>
    <row r="37">
      <c r="A37" t="inlineStr">
        <is>
          <t>SO00040</t>
        </is>
      </c>
      <c r="B37" s="3" t="n">
        <v>46077</v>
      </c>
      <c r="C37" t="inlineStr">
        <is>
          <t>S003</t>
        </is>
      </c>
      <c r="D37" t="inlineStr">
        <is>
          <t>P0004</t>
        </is>
      </c>
      <c r="E37" t="n">
        <v>4</v>
      </c>
      <c r="F37" s="4" t="n">
        <v>899</v>
      </c>
      <c r="G37" s="4" t="n">
        <v>3596</v>
      </c>
      <c r="H37" t="inlineStr">
        <is>
          <t>E004</t>
        </is>
      </c>
      <c r="I37" t="inlineStr">
        <is>
          <t>27英寸显示器</t>
        </is>
      </c>
      <c r="J37" t="inlineStr">
        <is>
          <t>电脑设备</t>
        </is>
      </c>
      <c r="K37" s="4" t="n">
        <v>899</v>
      </c>
      <c r="L37" t="inlineStr">
        <is>
          <t>哈尔滨南岗店</t>
        </is>
      </c>
      <c r="M37" t="inlineStr">
        <is>
          <t>东北区</t>
        </is>
      </c>
      <c r="N37" t="inlineStr">
        <is>
          <t>赵敏</t>
        </is>
      </c>
      <c r="O37" t="inlineStr">
        <is>
          <t>S003</t>
        </is>
      </c>
    </row>
    <row r="38">
      <c r="A38" t="inlineStr">
        <is>
          <t>SO00042</t>
        </is>
      </c>
      <c r="B38" s="3" t="n">
        <v>46068</v>
      </c>
      <c r="C38" t="inlineStr">
        <is>
          <t>S002</t>
        </is>
      </c>
      <c r="D38" t="inlineStr">
        <is>
          <t>P0008</t>
        </is>
      </c>
      <c r="E38" t="n">
        <v>2</v>
      </c>
      <c r="F38" s="4" t="n">
        <v>499</v>
      </c>
      <c r="G38" s="4" t="n">
        <v>998</v>
      </c>
      <c r="H38" t="inlineStr">
        <is>
          <t>E003</t>
        </is>
      </c>
      <c r="I38" t="inlineStr">
        <is>
          <t>移动硬盘</t>
        </is>
      </c>
      <c r="J38" t="inlineStr">
        <is>
          <t>存储设备</t>
        </is>
      </c>
      <c r="K38" s="4" t="n">
        <v>499</v>
      </c>
      <c r="L38" t="inlineStr">
        <is>
          <t>牡丹江西安店</t>
        </is>
      </c>
      <c r="M38" t="inlineStr">
        <is>
          <t>东北区</t>
        </is>
      </c>
      <c r="N38" t="inlineStr">
        <is>
          <t>王强</t>
        </is>
      </c>
      <c r="O38" t="inlineStr">
        <is>
          <t>S002</t>
        </is>
      </c>
    </row>
    <row r="39">
      <c r="A39" t="inlineStr">
        <is>
          <t>SO00044</t>
        </is>
      </c>
      <c r="B39" s="3" t="n">
        <v>46036</v>
      </c>
      <c r="C39" t="inlineStr">
        <is>
          <t>S004</t>
        </is>
      </c>
      <c r="D39" t="inlineStr">
        <is>
          <t>P0004</t>
        </is>
      </c>
      <c r="E39" t="n">
        <v>7</v>
      </c>
      <c r="F39" s="4" t="n">
        <v>899</v>
      </c>
      <c r="G39" s="4" t="n">
        <v>6293</v>
      </c>
      <c r="H39" t="inlineStr">
        <is>
          <t>E005</t>
        </is>
      </c>
      <c r="I39" t="inlineStr">
        <is>
          <t>27英寸显示器</t>
        </is>
      </c>
      <c r="J39" t="inlineStr">
        <is>
          <t>电脑设备</t>
        </is>
      </c>
      <c r="K39" s="4" t="n">
        <v>899</v>
      </c>
      <c r="L39" t="inlineStr">
        <is>
          <t>长春朝阳店</t>
        </is>
      </c>
      <c r="M39" t="inlineStr">
        <is>
          <t>东北区</t>
        </is>
      </c>
      <c r="N39" t="inlineStr">
        <is>
          <t>刘洋</t>
        </is>
      </c>
      <c r="O39" t="inlineStr">
        <is>
          <t>S004</t>
        </is>
      </c>
    </row>
    <row r="40">
      <c r="A40" t="inlineStr">
        <is>
          <t>SO00045</t>
        </is>
      </c>
      <c r="B40" s="3" t="n">
        <v>46028</v>
      </c>
      <c r="C40" t="inlineStr">
        <is>
          <t>S004</t>
        </is>
      </c>
      <c r="D40" t="inlineStr">
        <is>
          <t>P0007</t>
        </is>
      </c>
      <c r="E40" t="n">
        <v>5</v>
      </c>
      <c r="F40" s="4" t="n">
        <v>3.5</v>
      </c>
      <c r="G40" s="4" t="n">
        <v>17.5</v>
      </c>
      <c r="H40" t="inlineStr">
        <is>
          <t>E005</t>
        </is>
      </c>
      <c r="I40" t="inlineStr">
        <is>
          <t>中性笔</t>
        </is>
      </c>
      <c r="J40" t="inlineStr">
        <is>
          <t>办公用品</t>
        </is>
      </c>
      <c r="K40" s="4" t="n">
        <v>3.5</v>
      </c>
      <c r="L40" t="inlineStr">
        <is>
          <t>长春朝阳店</t>
        </is>
      </c>
      <c r="M40" t="inlineStr">
        <is>
          <t>东北区</t>
        </is>
      </c>
      <c r="N40" t="inlineStr">
        <is>
          <t>刘洋</t>
        </is>
      </c>
      <c r="O40" t="inlineStr">
        <is>
          <t>S004</t>
        </is>
      </c>
    </row>
  </sheetData>
  <autoFilter ref="A1:O40"/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7.5" customWidth="1" min="2" max="2"/>
    <col width="7.5" customWidth="1" min="3" max="3"/>
    <col width="11.25" customWidth="1" min="4" max="4"/>
    <col width="25" customWidth="1" min="5" max="5"/>
    <col width="25" customWidth="1" min="6" max="6"/>
  </cols>
  <sheetData>
    <row r="1">
      <c r="A1" s="1" t="inlineStr">
        <is>
          <t>商品类别汇总</t>
        </is>
      </c>
    </row>
    <row r="2">
      <c r="A2" s="2" t="inlineStr">
        <is>
          <t>商品类别</t>
        </is>
      </c>
      <c r="B2" s="2" t="inlineStr">
        <is>
          <t>订单数量</t>
        </is>
      </c>
      <c r="C2" s="2" t="inlineStr">
        <is>
          <t>销售数量</t>
        </is>
      </c>
      <c r="D2" s="2" t="inlineStr">
        <is>
          <t>总金额</t>
        </is>
      </c>
      <c r="E2" s="2" t="inlineStr">
        <is>
          <t>平均销售额</t>
        </is>
      </c>
      <c r="F2" s="2" t="inlineStr">
        <is>
          <t>平均销售量</t>
        </is>
      </c>
    </row>
    <row r="3">
      <c r="A3" s="2" t="inlineStr">
        <is>
          <t>办公用品</t>
        </is>
      </c>
      <c r="B3" t="n">
        <v>10</v>
      </c>
      <c r="C3" t="n">
        <v>46</v>
      </c>
      <c r="D3" s="4" t="n">
        <v>1519.5</v>
      </c>
      <c r="E3" t="n">
        <v>151.95</v>
      </c>
      <c r="F3" t="n">
        <v>4.6</v>
      </c>
    </row>
    <row r="4">
      <c r="A4" s="2" t="inlineStr">
        <is>
          <t>存储设备</t>
        </is>
      </c>
      <c r="B4" t="n">
        <v>6</v>
      </c>
      <c r="C4" t="n">
        <v>16</v>
      </c>
      <c r="D4" s="4" t="n">
        <v>6267.6</v>
      </c>
      <c r="E4" t="n">
        <v>1044.6</v>
      </c>
      <c r="F4" t="n">
        <v>2.666666666666667</v>
      </c>
    </row>
    <row r="5">
      <c r="A5" s="2" t="inlineStr">
        <is>
          <t>数码配件</t>
        </is>
      </c>
      <c r="B5" t="n">
        <v>4</v>
      </c>
      <c r="C5" t="n">
        <v>23</v>
      </c>
      <c r="D5" s="4" t="n">
        <v>687.7</v>
      </c>
      <c r="E5" t="n">
        <v>171.925</v>
      </c>
      <c r="F5" t="n">
        <v>5.75</v>
      </c>
    </row>
    <row r="6">
      <c r="A6" s="2" t="inlineStr">
        <is>
          <t>电脑外设</t>
        </is>
      </c>
      <c r="B6" t="n">
        <v>7</v>
      </c>
      <c r="C6" t="n">
        <v>19</v>
      </c>
      <c r="D6" s="4" t="n">
        <v>1414.5</v>
      </c>
      <c r="E6" t="n">
        <v>202.0714285714286</v>
      </c>
      <c r="F6" t="n">
        <v>2.714285714285714</v>
      </c>
    </row>
    <row r="7">
      <c r="A7" s="2" t="inlineStr">
        <is>
          <t>电脑设备</t>
        </is>
      </c>
      <c r="B7" t="n">
        <v>7</v>
      </c>
      <c r="C7" t="n">
        <v>33</v>
      </c>
      <c r="D7" s="4" t="n">
        <v>29667</v>
      </c>
      <c r="E7" t="n">
        <v>4238.142857142857</v>
      </c>
      <c r="F7" t="n">
        <v>4.714285714285714</v>
      </c>
    </row>
    <row r="8">
      <c r="A8" s="2" t="inlineStr">
        <is>
          <t>音频设备</t>
        </is>
      </c>
      <c r="B8" t="n">
        <v>4</v>
      </c>
      <c r="C8" t="n">
        <v>14</v>
      </c>
      <c r="D8" s="4" t="n">
        <v>2990</v>
      </c>
      <c r="E8" t="n">
        <v>747.5</v>
      </c>
      <c r="F8" t="n">
        <v>3.5</v>
      </c>
    </row>
    <row r="9">
      <c r="A9" t="inlineStr">
        <is>
          <t>合计</t>
        </is>
      </c>
      <c r="B9">
        <f>SUM(B3:B8)</f>
        <v/>
      </c>
      <c r="C9">
        <f>SUM(C3:C8)</f>
        <v/>
      </c>
      <c r="D9">
        <f>SUM(D3:D8)</f>
        <v/>
      </c>
    </row>
  </sheetData>
  <autoFilter ref="A1:F8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7.5" customWidth="1" min="2" max="2"/>
    <col width="7.5" customWidth="1" min="3" max="3"/>
    <col width="25" customWidth="1" min="4" max="4"/>
    <col width="25" customWidth="1" min="5" max="5"/>
    <col width="23.75" customWidth="1" min="6" max="6"/>
  </cols>
  <sheetData>
    <row r="1">
      <c r="A1" s="1" t="inlineStr">
        <is>
          <t>门店汇总</t>
        </is>
      </c>
    </row>
    <row r="2">
      <c r="A2" s="2" t="inlineStr">
        <is>
          <t>门店名称</t>
        </is>
      </c>
      <c r="B2" s="2" t="inlineStr">
        <is>
          <t>订单数量</t>
        </is>
      </c>
      <c r="C2" s="2" t="inlineStr">
        <is>
          <t>销售数量</t>
        </is>
      </c>
      <c r="D2" s="2" t="inlineStr">
        <is>
          <t>总金额</t>
        </is>
      </c>
      <c r="E2" s="2" t="inlineStr">
        <is>
          <t>平均销售额</t>
        </is>
      </c>
      <c r="F2" s="2" t="inlineStr">
        <is>
          <t>平均销售量</t>
        </is>
      </c>
    </row>
    <row r="3">
      <c r="A3" s="2" t="inlineStr">
        <is>
          <t>哈尔滨南岗店</t>
        </is>
      </c>
      <c r="B3" t="n">
        <v>6</v>
      </c>
      <c r="C3" t="n">
        <v>27</v>
      </c>
      <c r="D3" s="4" t="n">
        <v>8093.9</v>
      </c>
      <c r="E3" t="n">
        <v>1348.983333333333</v>
      </c>
      <c r="F3" t="n">
        <v>4.5</v>
      </c>
    </row>
    <row r="4">
      <c r="A4" s="2" t="inlineStr">
        <is>
          <t>大连中山店</t>
        </is>
      </c>
      <c r="B4" t="n">
        <v>2</v>
      </c>
      <c r="C4" t="n">
        <v>2</v>
      </c>
      <c r="D4" s="4" t="n">
        <v>1398</v>
      </c>
      <c r="E4" t="n">
        <v>699</v>
      </c>
      <c r="F4" t="n">
        <v>1</v>
      </c>
    </row>
    <row r="5">
      <c r="A5" s="2" t="inlineStr">
        <is>
          <t>沈阳和平店</t>
        </is>
      </c>
      <c r="B5" t="n">
        <v>7</v>
      </c>
      <c r="C5" t="n">
        <v>36</v>
      </c>
      <c r="D5" s="4" t="n">
        <v>8698.1</v>
      </c>
      <c r="E5" t="n">
        <v>1242.585714285714</v>
      </c>
      <c r="F5" t="n">
        <v>5.142857142857143</v>
      </c>
    </row>
    <row r="6">
      <c r="A6" s="2" t="inlineStr">
        <is>
          <t>牡丹江中心店</t>
        </is>
      </c>
      <c r="B6" t="n">
        <v>8</v>
      </c>
      <c r="C6" t="n">
        <v>23</v>
      </c>
      <c r="D6" s="4" t="n">
        <v>1746.4</v>
      </c>
      <c r="E6" t="n">
        <v>218.3</v>
      </c>
      <c r="F6" t="n">
        <v>2.875</v>
      </c>
    </row>
    <row r="7">
      <c r="A7" s="2" t="inlineStr">
        <is>
          <t>牡丹江西安店</t>
        </is>
      </c>
      <c r="B7" t="n">
        <v>8</v>
      </c>
      <c r="C7" t="n">
        <v>24</v>
      </c>
      <c r="D7" s="4" t="n">
        <v>11813</v>
      </c>
      <c r="E7" t="n">
        <v>1476.625</v>
      </c>
      <c r="F7" t="n">
        <v>3</v>
      </c>
    </row>
    <row r="8">
      <c r="A8" s="2" t="inlineStr">
        <is>
          <t>长春朝阳店</t>
        </is>
      </c>
      <c r="B8" t="n">
        <v>7</v>
      </c>
      <c r="C8" t="n">
        <v>39</v>
      </c>
      <c r="D8" s="4" t="n">
        <v>10796.9</v>
      </c>
      <c r="E8" t="n">
        <v>1542.414285714286</v>
      </c>
      <c r="F8" t="n">
        <v>5.571428571428571</v>
      </c>
    </row>
    <row r="9">
      <c r="A9" t="inlineStr">
        <is>
          <t>合计</t>
        </is>
      </c>
      <c r="B9">
        <f>SUM(B3:B8)</f>
        <v/>
      </c>
      <c r="C9">
        <f>SUM(C3:C8)</f>
        <v/>
      </c>
      <c r="D9">
        <f>SUM(D3:D8)</f>
        <v/>
      </c>
    </row>
  </sheetData>
  <autoFilter ref="A1:F8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.5" customWidth="1" min="1" max="1"/>
    <col width="7.5" customWidth="1" min="2" max="2"/>
    <col width="8.75" customWidth="1" min="3" max="3"/>
    <col width="11.25" customWidth="1" min="4" max="4"/>
    <col width="25" customWidth="1" min="5" max="5"/>
    <col width="23.75" customWidth="1" min="6" max="6"/>
  </cols>
  <sheetData>
    <row r="1">
      <c r="A1" s="1" t="inlineStr">
        <is>
          <t>区域汇总</t>
        </is>
      </c>
    </row>
    <row r="2">
      <c r="A2" s="2" t="inlineStr">
        <is>
          <t>区域</t>
        </is>
      </c>
      <c r="B2" s="2" t="inlineStr">
        <is>
          <t>订单数量</t>
        </is>
      </c>
      <c r="C2" s="2" t="inlineStr">
        <is>
          <t>销售数量</t>
        </is>
      </c>
      <c r="D2" s="2" t="inlineStr">
        <is>
          <t>总金额</t>
        </is>
      </c>
      <c r="E2" s="2" t="inlineStr">
        <is>
          <t>平均销售额</t>
        </is>
      </c>
      <c r="F2" s="2" t="inlineStr">
        <is>
          <t>平均销售量</t>
        </is>
      </c>
    </row>
    <row r="3">
      <c r="A3" s="2" t="inlineStr">
        <is>
          <t>东北区</t>
        </is>
      </c>
      <c r="B3" t="n">
        <v>38</v>
      </c>
      <c r="C3" t="n">
        <v>151</v>
      </c>
      <c r="D3" s="4" t="n">
        <v>42546.3</v>
      </c>
      <c r="E3" t="n">
        <v>1119.639473684211</v>
      </c>
      <c r="F3" t="n">
        <v>3.973684210526316</v>
      </c>
    </row>
    <row r="4">
      <c r="A4" t="inlineStr">
        <is>
          <t>合计</t>
        </is>
      </c>
      <c r="B4">
        <f>SUM(B3:B3)</f>
        <v/>
      </c>
      <c r="C4">
        <f>SUM(C3:C3)</f>
        <v/>
      </c>
      <c r="D4">
        <f>SUM(D3:D3)</f>
        <v/>
      </c>
    </row>
  </sheetData>
  <autoFilter ref="A1:F3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.25" customWidth="1" min="1" max="1"/>
    <col width="7.5" customWidth="1" min="2" max="2"/>
    <col width="8.75" customWidth="1" min="3" max="3"/>
    <col width="11.25" customWidth="1" min="4" max="4"/>
    <col width="25" customWidth="1" min="5" max="5"/>
    <col width="8.75" customWidth="1" min="6" max="6"/>
  </cols>
  <sheetData>
    <row r="1">
      <c r="A1" s="1" t="inlineStr">
        <is>
          <t>月度汇总</t>
        </is>
      </c>
    </row>
    <row r="2">
      <c r="A2" s="2" t="inlineStr">
        <is>
          <t>日期</t>
        </is>
      </c>
      <c r="B2" s="2" t="inlineStr">
        <is>
          <t>订单数量</t>
        </is>
      </c>
      <c r="C2" s="2" t="inlineStr">
        <is>
          <t>销售数量</t>
        </is>
      </c>
      <c r="D2" s="2" t="inlineStr">
        <is>
          <t>总金额</t>
        </is>
      </c>
      <c r="E2" s="2" t="inlineStr">
        <is>
          <t>平均销售额</t>
        </is>
      </c>
      <c r="F2" s="2" t="inlineStr">
        <is>
          <t>平均销售量</t>
        </is>
      </c>
    </row>
    <row r="3">
      <c r="A3" s="5" t="n">
        <v>46023</v>
      </c>
      <c r="B3" t="n">
        <v>25</v>
      </c>
      <c r="C3" t="n">
        <v>107</v>
      </c>
      <c r="D3" s="4" t="n">
        <v>28743.4</v>
      </c>
      <c r="E3" t="n">
        <v>1149.736</v>
      </c>
      <c r="F3" t="n">
        <v>4.28</v>
      </c>
    </row>
    <row r="4">
      <c r="A4" s="5" t="n">
        <v>46054</v>
      </c>
      <c r="B4" t="n">
        <v>5</v>
      </c>
      <c r="C4" t="n">
        <v>14</v>
      </c>
      <c r="D4" s="4" t="n">
        <v>5206.9</v>
      </c>
      <c r="E4" t="n">
        <v>1041.38</v>
      </c>
      <c r="F4" t="n">
        <v>2.8</v>
      </c>
    </row>
    <row r="5">
      <c r="A5" s="5" t="n">
        <v>46082</v>
      </c>
      <c r="B5" t="n">
        <v>8</v>
      </c>
      <c r="C5" t="n">
        <v>30</v>
      </c>
      <c r="D5" s="4" t="n">
        <v>8596</v>
      </c>
      <c r="E5" t="n">
        <v>1074.5</v>
      </c>
      <c r="F5" t="n">
        <v>3.75</v>
      </c>
    </row>
    <row r="6">
      <c r="A6" t="inlineStr">
        <is>
          <t>合计</t>
        </is>
      </c>
      <c r="B6">
        <f>SUM(B3:B5)</f>
        <v/>
      </c>
      <c r="C6">
        <f>SUM(C3:C5)</f>
        <v/>
      </c>
      <c r="D6">
        <f>SUM(D3:D5)</f>
        <v/>
      </c>
    </row>
  </sheetData>
  <autoFilter ref="A1:F5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7.5" customWidth="1" min="3" max="3"/>
    <col width="7.5" customWidth="1" min="4" max="4"/>
    <col width="11.25" customWidth="1" min="5" max="5"/>
    <col width="25" customWidth="1" min="6" max="6"/>
    <col width="23.75" customWidth="1" min="7" max="7"/>
  </cols>
  <sheetData>
    <row r="1">
      <c r="A1" s="1" t="inlineStr">
        <is>
          <t>销售人员汇总</t>
        </is>
      </c>
    </row>
    <row r="2">
      <c r="A2" s="2" t="inlineStr">
        <is>
          <t>销售人员编号</t>
        </is>
      </c>
      <c r="B2" s="2" t="inlineStr">
        <is>
          <t>销售人员姓名</t>
        </is>
      </c>
      <c r="C2" s="2" t="inlineStr">
        <is>
          <t>订单数量</t>
        </is>
      </c>
      <c r="D2" s="2" t="inlineStr">
        <is>
          <t>销售数量</t>
        </is>
      </c>
      <c r="E2" s="2" t="inlineStr">
        <is>
          <t>总金额</t>
        </is>
      </c>
      <c r="F2" s="2" t="inlineStr">
        <is>
          <t>平均销售额</t>
        </is>
      </c>
      <c r="G2" s="2" t="inlineStr">
        <is>
          <t>平均销售量</t>
        </is>
      </c>
    </row>
    <row r="3">
      <c r="A3" s="2" t="inlineStr">
        <is>
          <t>E001</t>
        </is>
      </c>
      <c r="B3" s="2" t="inlineStr">
        <is>
          <t>张伟</t>
        </is>
      </c>
      <c r="C3" t="n">
        <v>4</v>
      </c>
      <c r="D3" t="n">
        <v>8</v>
      </c>
      <c r="E3" s="4" t="n">
        <v>1228.3</v>
      </c>
      <c r="F3" t="n">
        <v>307.075</v>
      </c>
      <c r="G3" t="n">
        <v>2</v>
      </c>
    </row>
    <row r="4">
      <c r="A4" s="2" t="inlineStr">
        <is>
          <t>E002</t>
        </is>
      </c>
      <c r="B4" s="2" t="inlineStr">
        <is>
          <t>李娜</t>
        </is>
      </c>
      <c r="C4" t="n">
        <v>4</v>
      </c>
      <c r="D4" t="n">
        <v>15</v>
      </c>
      <c r="E4" s="4" t="n">
        <v>518.1</v>
      </c>
      <c r="F4" t="n">
        <v>129.525</v>
      </c>
      <c r="G4" t="n">
        <v>3.75</v>
      </c>
    </row>
    <row r="5">
      <c r="A5" s="2" t="inlineStr">
        <is>
          <t>E003</t>
        </is>
      </c>
      <c r="B5" s="2" t="inlineStr">
        <is>
          <t>王强</t>
        </is>
      </c>
      <c r="C5" t="n">
        <v>8</v>
      </c>
      <c r="D5" t="n">
        <v>24</v>
      </c>
      <c r="E5" s="4" t="n">
        <v>11813</v>
      </c>
      <c r="F5" t="n">
        <v>1476.625</v>
      </c>
      <c r="G5" t="n">
        <v>3</v>
      </c>
    </row>
    <row r="6">
      <c r="A6" s="2" t="inlineStr">
        <is>
          <t>E004</t>
        </is>
      </c>
      <c r="B6" s="2" t="inlineStr">
        <is>
          <t>赵敏</t>
        </is>
      </c>
      <c r="C6" t="n">
        <v>6</v>
      </c>
      <c r="D6" t="n">
        <v>27</v>
      </c>
      <c r="E6" s="4" t="n">
        <v>8093.9</v>
      </c>
      <c r="F6" t="n">
        <v>1348.983333333333</v>
      </c>
      <c r="G6" t="n">
        <v>4.5</v>
      </c>
    </row>
    <row r="7">
      <c r="A7" s="2" t="inlineStr">
        <is>
          <t>E005</t>
        </is>
      </c>
      <c r="B7" s="2" t="inlineStr">
        <is>
          <t>刘洋</t>
        </is>
      </c>
      <c r="C7" t="n">
        <v>7</v>
      </c>
      <c r="D7" t="n">
        <v>39</v>
      </c>
      <c r="E7" s="4" t="n">
        <v>10796.9</v>
      </c>
      <c r="F7" t="n">
        <v>1542.414285714286</v>
      </c>
      <c r="G7" t="n">
        <v>5.571428571428571</v>
      </c>
    </row>
    <row r="8">
      <c r="A8" s="2" t="inlineStr">
        <is>
          <t>E006</t>
        </is>
      </c>
      <c r="B8" s="2" t="inlineStr">
        <is>
          <t>陈晨</t>
        </is>
      </c>
      <c r="C8" t="n">
        <v>7</v>
      </c>
      <c r="D8" t="n">
        <v>36</v>
      </c>
      <c r="E8" s="4" t="n">
        <v>8698.1</v>
      </c>
      <c r="F8" t="n">
        <v>1242.585714285714</v>
      </c>
      <c r="G8" t="n">
        <v>5.142857142857143</v>
      </c>
    </row>
    <row r="9">
      <c r="A9" s="2" t="inlineStr">
        <is>
          <t>E007</t>
        </is>
      </c>
      <c r="B9" s="2" t="inlineStr">
        <is>
          <t>孙磊</t>
        </is>
      </c>
      <c r="C9" t="n">
        <v>2</v>
      </c>
      <c r="D9" t="n">
        <v>2</v>
      </c>
      <c r="E9" s="4" t="n">
        <v>1398</v>
      </c>
      <c r="F9" t="n">
        <v>699</v>
      </c>
      <c r="G9" t="n">
        <v>1</v>
      </c>
    </row>
    <row r="10">
      <c r="A10" t="inlineStr">
        <is>
          <t>合计</t>
        </is>
      </c>
      <c r="C10">
        <f>SUM(C3:C9)</f>
        <v/>
      </c>
      <c r="D10">
        <f>SUM(D3:D9)</f>
        <v/>
      </c>
      <c r="E10">
        <f>SUM(E3:E9)</f>
        <v/>
      </c>
    </row>
  </sheetData>
  <autoFilter ref="A1:G9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.5" customWidth="1" min="1" max="1"/>
    <col width="11.25" customWidth="1" min="2" max="2"/>
    <col width="26.25" customWidth="1" min="3" max="3"/>
    <col width="10" customWidth="1" min="4" max="4"/>
    <col width="8.75" customWidth="1" min="5" max="5"/>
    <col width="7.5" customWidth="1" min="6" max="6"/>
    <col width="8.75" customWidth="1" min="7" max="7"/>
    <col width="8.75" customWidth="1" min="8" max="8"/>
    <col width="10" customWidth="1" min="9" max="9"/>
    <col width="18.75" customWidth="1" min="10" max="10"/>
    <col width="8.75" customWidth="1" min="11" max="11"/>
    <col width="7.5" customWidth="1" min="12" max="12"/>
    <col width="8.75" customWidth="1" min="13" max="13"/>
    <col width="10" customWidth="1" min="14" max="14"/>
    <col width="7.5" customWidth="1" min="15" max="15"/>
    <col width="10" customWidth="1" min="16" max="16"/>
    <col width="10" customWidth="1" min="17" max="17"/>
  </cols>
  <sheetData>
    <row r="1">
      <c r="A1" s="1" t="inlineStr">
        <is>
          <t>异常报告</t>
        </is>
      </c>
    </row>
    <row r="2">
      <c r="A2" s="6" t="n"/>
      <c r="B2" s="2" t="inlineStr">
        <is>
          <t>订单号</t>
        </is>
      </c>
      <c r="C2" s="2" t="inlineStr">
        <is>
          <t>日期</t>
        </is>
      </c>
      <c r="D2" s="2" t="inlineStr">
        <is>
          <t>门店编号</t>
        </is>
      </c>
      <c r="E2" s="2" t="inlineStr">
        <is>
          <t>商品编号</t>
        </is>
      </c>
      <c r="F2" s="2" t="inlineStr">
        <is>
          <t>数量</t>
        </is>
      </c>
      <c r="G2" s="2" t="inlineStr">
        <is>
          <t>单价</t>
        </is>
      </c>
      <c r="H2" s="2" t="inlineStr">
        <is>
          <t>销售金额</t>
        </is>
      </c>
      <c r="I2" s="2" t="inlineStr">
        <is>
          <t>销售人员编号</t>
        </is>
      </c>
      <c r="J2" s="2" t="inlineStr">
        <is>
          <t>异常</t>
        </is>
      </c>
      <c r="K2" s="2" t="inlineStr">
        <is>
          <t>商品名称</t>
        </is>
      </c>
      <c r="L2" s="2" t="inlineStr">
        <is>
          <t>商品类别</t>
        </is>
      </c>
      <c r="M2" s="2" t="inlineStr">
        <is>
          <t>标准单价</t>
        </is>
      </c>
      <c r="N2" s="2" t="inlineStr">
        <is>
          <t>门店名称</t>
        </is>
      </c>
      <c r="O2" s="2" t="inlineStr">
        <is>
          <t>区域</t>
        </is>
      </c>
      <c r="P2" s="2" t="inlineStr">
        <is>
          <t>销售人员姓名</t>
        </is>
      </c>
      <c r="Q2" s="2" t="inlineStr">
        <is>
          <t>所属门店编号</t>
        </is>
      </c>
    </row>
    <row r="3">
      <c r="A3" s="2" t="n">
        <v>0</v>
      </c>
      <c r="B3" t="inlineStr">
        <is>
          <t>SO00019</t>
        </is>
      </c>
      <c r="C3" t="inlineStr">
        <is>
          <t>2026-01-24</t>
        </is>
      </c>
      <c r="D3" t="inlineStr">
        <is>
          <t>S005</t>
        </is>
      </c>
      <c r="E3" t="inlineStr">
        <is>
          <t>P0010</t>
        </is>
      </c>
      <c r="F3" t="n">
        <v>7</v>
      </c>
      <c r="G3" s="4" t="n">
        <v>299</v>
      </c>
      <c r="H3" s="4" t="inlineStr"/>
      <c r="I3" t="inlineStr">
        <is>
          <t>E006</t>
        </is>
      </c>
      <c r="J3" t="inlineStr">
        <is>
          <t>销售金额为空值，已填0处理</t>
        </is>
      </c>
      <c r="K3" t="inlineStr"/>
      <c r="L3" t="inlineStr"/>
      <c r="M3" s="4" t="inlineStr"/>
      <c r="N3" t="inlineStr"/>
      <c r="O3" t="inlineStr"/>
      <c r="P3" t="inlineStr"/>
      <c r="Q3" t="inlineStr"/>
    </row>
    <row r="4">
      <c r="A4" s="2" t="n">
        <v>1</v>
      </c>
      <c r="B4" t="inlineStr">
        <is>
          <t>SO00008</t>
        </is>
      </c>
      <c r="C4" s="3" t="n">
        <v>46038</v>
      </c>
      <c r="D4" t="inlineStr">
        <is>
          <t>S002</t>
        </is>
      </c>
      <c r="E4" t="inlineStr">
        <is>
          <t>P0005</t>
        </is>
      </c>
      <c r="F4" t="n">
        <v>2</v>
      </c>
      <c r="G4" s="4" t="n">
        <v>79</v>
      </c>
      <c r="H4" s="4" t="n">
        <v>158</v>
      </c>
      <c r="I4" t="inlineStr">
        <is>
          <t>E003</t>
        </is>
      </c>
      <c r="J4" t="inlineStr">
        <is>
          <t>数据重复</t>
        </is>
      </c>
      <c r="K4" t="inlineStr"/>
      <c r="L4" t="inlineStr"/>
      <c r="M4" s="4" t="inlineStr"/>
      <c r="N4" t="inlineStr"/>
      <c r="O4" t="inlineStr"/>
      <c r="P4" t="inlineStr"/>
      <c r="Q4" t="inlineStr"/>
    </row>
    <row r="5">
      <c r="A5" s="2" t="n">
        <v>2</v>
      </c>
      <c r="B5" t="inlineStr">
        <is>
          <t>SO00022</t>
        </is>
      </c>
      <c r="C5" s="3" t="n">
        <v>46095</v>
      </c>
      <c r="D5" t="inlineStr">
        <is>
          <t>S005</t>
        </is>
      </c>
      <c r="E5" t="inlineStr">
        <is>
          <t>P9999</t>
        </is>
      </c>
      <c r="F5" t="n">
        <v>7</v>
      </c>
      <c r="G5" s="4" t="n">
        <v>3.5</v>
      </c>
      <c r="H5" s="4" t="n">
        <v>24.5</v>
      </c>
      <c r="I5" t="inlineStr">
        <is>
          <t>E006</t>
        </is>
      </c>
      <c r="J5" t="inlineStr">
        <is>
          <t>门店或商品或人员编号不匹配</t>
        </is>
      </c>
      <c r="K5" t="inlineStr"/>
      <c r="L5" t="inlineStr"/>
      <c r="M5" s="4" t="inlineStr"/>
      <c r="N5" t="inlineStr">
        <is>
          <t>沈阳和平店</t>
        </is>
      </c>
      <c r="O5" t="inlineStr">
        <is>
          <t>东北区</t>
        </is>
      </c>
      <c r="P5" t="inlineStr">
        <is>
          <t>陈晨</t>
        </is>
      </c>
      <c r="Q5" t="inlineStr">
        <is>
          <t>S005</t>
        </is>
      </c>
    </row>
    <row r="6">
      <c r="A6" s="2" t="n">
        <v>3</v>
      </c>
      <c r="B6" t="inlineStr">
        <is>
          <t>SO00025</t>
        </is>
      </c>
      <c r="C6" s="3" t="n">
        <v>46067</v>
      </c>
      <c r="D6" t="inlineStr">
        <is>
          <t>S999</t>
        </is>
      </c>
      <c r="E6" t="inlineStr">
        <is>
          <t>P0001</t>
        </is>
      </c>
      <c r="F6" t="n">
        <v>5</v>
      </c>
      <c r="G6" s="4" t="n">
        <v>129</v>
      </c>
      <c r="H6" s="4" t="n">
        <v>645</v>
      </c>
      <c r="I6" t="inlineStr">
        <is>
          <t>E003</t>
        </is>
      </c>
      <c r="J6" t="inlineStr">
        <is>
          <t>门店或商品或人员编号不匹配</t>
        </is>
      </c>
      <c r="K6" t="inlineStr">
        <is>
          <t>机械键盘</t>
        </is>
      </c>
      <c r="L6" t="inlineStr">
        <is>
          <t>电脑外设</t>
        </is>
      </c>
      <c r="M6" s="4" t="n">
        <v>129</v>
      </c>
      <c r="N6" t="inlineStr"/>
      <c r="O6" t="inlineStr"/>
      <c r="P6" t="inlineStr">
        <is>
          <t>王强</t>
        </is>
      </c>
      <c r="Q6" t="inlineStr">
        <is>
          <t>S002</t>
        </is>
      </c>
    </row>
    <row r="7">
      <c r="A7" s="2" t="n">
        <v>4</v>
      </c>
      <c r="B7" t="inlineStr">
        <is>
          <t>SO00033</t>
        </is>
      </c>
      <c r="C7" s="3" t="n">
        <v>46030</v>
      </c>
      <c r="D7" t="inlineStr">
        <is>
          <t>牡丹江中心店</t>
        </is>
      </c>
      <c r="E7" t="inlineStr">
        <is>
          <t>P0006</t>
        </is>
      </c>
      <c r="F7" t="n">
        <v>1</v>
      </c>
      <c r="G7" s="4" t="n">
        <v>32.5</v>
      </c>
      <c r="H7" s="4" t="n">
        <v>32.5</v>
      </c>
      <c r="I7" t="inlineStr">
        <is>
          <t>E003</t>
        </is>
      </c>
      <c r="J7" t="inlineStr">
        <is>
          <t>门店或商品或人员编号不匹配</t>
        </is>
      </c>
      <c r="K7" t="inlineStr">
        <is>
          <t>A4打印纸</t>
        </is>
      </c>
      <c r="L7" t="inlineStr">
        <is>
          <t>办公用品</t>
        </is>
      </c>
      <c r="M7" s="4" t="n">
        <v>32.5</v>
      </c>
      <c r="N7" t="inlineStr"/>
      <c r="O7" t="inlineStr"/>
      <c r="P7" t="inlineStr">
        <is>
          <t>王强</t>
        </is>
      </c>
      <c r="Q7" t="inlineStr">
        <is>
          <t>S002</t>
        </is>
      </c>
    </row>
    <row r="8">
      <c r="A8" s="2" t="n">
        <v>5</v>
      </c>
      <c r="B8" t="inlineStr">
        <is>
          <t>SO00036</t>
        </is>
      </c>
      <c r="C8" s="3" t="n">
        <v>46056</v>
      </c>
      <c r="D8" t="inlineStr">
        <is>
          <t>S005</t>
        </is>
      </c>
      <c r="E8" t="inlineStr">
        <is>
          <t>P0005</t>
        </is>
      </c>
      <c r="F8" t="n">
        <v>8</v>
      </c>
      <c r="G8" s="4" t="n">
        <v>79</v>
      </c>
      <c r="H8" s="4" t="n">
        <v>632</v>
      </c>
      <c r="I8" t="inlineStr">
        <is>
          <t>E999</t>
        </is>
      </c>
      <c r="J8" t="inlineStr">
        <is>
          <t>门店或商品或人员编号不匹配</t>
        </is>
      </c>
      <c r="K8" t="inlineStr">
        <is>
          <t>笔记本支架</t>
        </is>
      </c>
      <c r="L8" t="inlineStr">
        <is>
          <t>办公用品</t>
        </is>
      </c>
      <c r="M8" s="4" t="n">
        <v>79</v>
      </c>
      <c r="N8" t="inlineStr">
        <is>
          <t>沈阳和平店</t>
        </is>
      </c>
      <c r="O8" t="inlineStr">
        <is>
          <t>东北区</t>
        </is>
      </c>
      <c r="P8" t="inlineStr"/>
      <c r="Q8" t="inlineStr"/>
    </row>
    <row r="9">
      <c r="A9" s="2" t="n">
        <v>6</v>
      </c>
      <c r="B9" t="inlineStr">
        <is>
          <t>SO00038</t>
        </is>
      </c>
      <c r="C9" s="3" t="n">
        <v>46060</v>
      </c>
      <c r="D9" t="inlineStr">
        <is>
          <t>S001</t>
        </is>
      </c>
      <c r="E9" t="inlineStr">
        <is>
          <t>P0007</t>
        </is>
      </c>
      <c r="F9" t="inlineStr"/>
      <c r="G9" s="4" t="n">
        <v>3.5</v>
      </c>
      <c r="H9" s="4" t="n">
        <v>21</v>
      </c>
      <c r="I9" t="inlineStr">
        <is>
          <t>E001</t>
        </is>
      </c>
      <c r="J9" t="inlineStr"/>
      <c r="K9" t="inlineStr">
        <is>
          <t>中性笔</t>
        </is>
      </c>
      <c r="L9" t="inlineStr">
        <is>
          <t>办公用品</t>
        </is>
      </c>
      <c r="M9" s="4" t="n">
        <v>3.5</v>
      </c>
      <c r="N9" t="inlineStr">
        <is>
          <t>牡丹江中心店</t>
        </is>
      </c>
      <c r="O9" t="inlineStr">
        <is>
          <t>东北区</t>
        </is>
      </c>
      <c r="P9" t="inlineStr">
        <is>
          <t>张伟</t>
        </is>
      </c>
      <c r="Q9" t="inlineStr">
        <is>
          <t>S001</t>
        </is>
      </c>
    </row>
    <row r="10">
      <c r="A10" s="2" t="n">
        <v>7</v>
      </c>
      <c r="B10" t="inlineStr">
        <is>
          <t>SO00041</t>
        </is>
      </c>
      <c r="C10" s="3" t="n">
        <v>46040</v>
      </c>
      <c r="D10" t="inlineStr">
        <is>
          <t>S004</t>
        </is>
      </c>
      <c r="E10" t="inlineStr">
        <is>
          <t>P0007</t>
        </is>
      </c>
      <c r="F10" t="n">
        <v>3</v>
      </c>
      <c r="G10" s="4" t="n">
        <v>3.5</v>
      </c>
      <c r="H10" s="4" t="inlineStr"/>
      <c r="I10" t="inlineStr">
        <is>
          <t>E005</t>
        </is>
      </c>
      <c r="J10" t="inlineStr"/>
      <c r="K10" t="inlineStr">
        <is>
          <t>中性笔</t>
        </is>
      </c>
      <c r="L10" t="inlineStr">
        <is>
          <t>办公用品</t>
        </is>
      </c>
      <c r="M10" s="4" t="n">
        <v>3.5</v>
      </c>
      <c r="N10" t="inlineStr">
        <is>
          <t>长春朝阳店</t>
        </is>
      </c>
      <c r="O10" t="inlineStr">
        <is>
          <t>东北区</t>
        </is>
      </c>
      <c r="P10" t="inlineStr">
        <is>
          <t>刘洋</t>
        </is>
      </c>
      <c r="Q10" t="inlineStr">
        <is>
          <t>S004</t>
        </is>
      </c>
    </row>
    <row r="11">
      <c r="A11" s="2" t="n">
        <v>8</v>
      </c>
      <c r="B11" t="inlineStr">
        <is>
          <t>SO12X45</t>
        </is>
      </c>
      <c r="C11" s="3" t="n">
        <v>46043</v>
      </c>
      <c r="D11" t="inlineStr">
        <is>
          <t>S005</t>
        </is>
      </c>
      <c r="E11" t="inlineStr">
        <is>
          <t>P0002</t>
        </is>
      </c>
      <c r="F11" t="n">
        <v>4</v>
      </c>
      <c r="G11" s="4" t="n">
        <v>59.9</v>
      </c>
      <c r="H11" s="4" t="n">
        <v>239.6</v>
      </c>
      <c r="I11" t="inlineStr">
        <is>
          <t>E006</t>
        </is>
      </c>
      <c r="J11" t="inlineStr">
        <is>
          <t>订单号格式异常</t>
        </is>
      </c>
      <c r="K11" t="inlineStr">
        <is>
          <t>无线鼠标</t>
        </is>
      </c>
      <c r="L11" t="inlineStr">
        <is>
          <t>电脑外设</t>
        </is>
      </c>
      <c r="M11" s="4" t="n">
        <v>59.9</v>
      </c>
      <c r="N11" t="inlineStr">
        <is>
          <t>沈阳和平店</t>
        </is>
      </c>
      <c r="O11" t="inlineStr">
        <is>
          <t>东北区</t>
        </is>
      </c>
      <c r="P11" t="inlineStr">
        <is>
          <t>陈晨</t>
        </is>
      </c>
      <c r="Q11" t="inlineStr">
        <is>
          <t>S005</t>
        </is>
      </c>
    </row>
    <row r="12">
      <c r="A12" t="inlineStr">
        <is>
          <t>合计</t>
        </is>
      </c>
      <c r="F12">
        <f>SUM(F3:F11)</f>
        <v/>
      </c>
      <c r="H12">
        <f>SUM(H3:H11)</f>
        <v/>
      </c>
    </row>
  </sheetData>
  <autoFilter ref="A1:Q11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2026-08-31T20:01:41Z</dcterms:created>
  <dcterms:modified xsi:type="dcterms:W3CDTF">2026-08-31T20:01:41Z</dcterms:modified>
</cp:coreProperties>
</file>